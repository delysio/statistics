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4720" windowHeight="12345"/>
  </bookViews>
  <sheets>
    <sheet name="Arkusz1" sheetId="1" r:id="rId1"/>
  </sheets>
  <calcPr calcId="125725"/>
</workbook>
</file>

<file path=xl/calcChain.xml><?xml version="1.0" encoding="utf-8"?>
<calcChain xmlns="http://schemas.openxmlformats.org/spreadsheetml/2006/main">
  <c r="AF11" i="1"/>
  <c r="AE11"/>
  <c r="AF18"/>
  <c r="AE18"/>
  <c r="W4"/>
  <c r="X4"/>
  <c r="Y4"/>
  <c r="Z4"/>
  <c r="AA4"/>
  <c r="AB4"/>
  <c r="AC4"/>
  <c r="V4"/>
  <c r="M33"/>
  <c r="N33"/>
  <c r="O33"/>
  <c r="P33"/>
  <c r="Q33"/>
  <c r="R33"/>
  <c r="S33"/>
  <c r="M34"/>
  <c r="N34"/>
  <c r="O34"/>
  <c r="P34"/>
  <c r="Q34"/>
  <c r="R34"/>
  <c r="S34"/>
  <c r="M35"/>
  <c r="N35"/>
  <c r="O35"/>
  <c r="P35"/>
  <c r="Q35"/>
  <c r="R35"/>
  <c r="S35"/>
  <c r="M36"/>
  <c r="N36"/>
  <c r="O36"/>
  <c r="P36"/>
  <c r="Q36"/>
  <c r="R36"/>
  <c r="S36"/>
  <c r="M26"/>
  <c r="N26"/>
  <c r="O26"/>
  <c r="P26"/>
  <c r="Q26"/>
  <c r="R26"/>
  <c r="S26"/>
  <c r="M27"/>
  <c r="N27"/>
  <c r="O27"/>
  <c r="P27"/>
  <c r="Q27"/>
  <c r="R27"/>
  <c r="S27"/>
  <c r="M28"/>
  <c r="N28"/>
  <c r="O28"/>
  <c r="P28"/>
  <c r="Q28"/>
  <c r="R28"/>
  <c r="S28"/>
  <c r="M29"/>
  <c r="N29"/>
  <c r="O29"/>
  <c r="P29"/>
  <c r="Q29"/>
  <c r="R29"/>
  <c r="S29"/>
  <c r="M19"/>
  <c r="N19"/>
  <c r="O19"/>
  <c r="P19"/>
  <c r="Q19"/>
  <c r="R19"/>
  <c r="S19"/>
  <c r="M20"/>
  <c r="N20"/>
  <c r="O20"/>
  <c r="P20"/>
  <c r="Q20"/>
  <c r="R20"/>
  <c r="S20"/>
  <c r="M21"/>
  <c r="N21"/>
  <c r="O21"/>
  <c r="P21"/>
  <c r="Q21"/>
  <c r="R21"/>
  <c r="S21"/>
  <c r="M22"/>
  <c r="N22"/>
  <c r="O22"/>
  <c r="P22"/>
  <c r="Q22"/>
  <c r="R22"/>
  <c r="S22"/>
  <c r="R12"/>
  <c r="S12"/>
  <c r="R13"/>
  <c r="S13"/>
  <c r="R14"/>
  <c r="S14"/>
  <c r="R15"/>
  <c r="S15"/>
  <c r="H33"/>
  <c r="I33"/>
  <c r="H34"/>
  <c r="I34"/>
  <c r="H35"/>
  <c r="I35"/>
  <c r="H36"/>
  <c r="I36"/>
  <c r="H26"/>
  <c r="I26"/>
  <c r="H27"/>
  <c r="I27"/>
  <c r="H28"/>
  <c r="I28"/>
  <c r="H29"/>
  <c r="I29"/>
  <c r="C19"/>
  <c r="D19"/>
  <c r="E19"/>
  <c r="F19"/>
  <c r="G19"/>
  <c r="H19"/>
  <c r="I19"/>
  <c r="C20"/>
  <c r="D20"/>
  <c r="E20"/>
  <c r="F20"/>
  <c r="G20"/>
  <c r="H20"/>
  <c r="I20"/>
  <c r="C21"/>
  <c r="D21"/>
  <c r="E21"/>
  <c r="F21"/>
  <c r="G21"/>
  <c r="H21"/>
  <c r="I21"/>
  <c r="C22"/>
  <c r="D22"/>
  <c r="E22"/>
  <c r="F22"/>
  <c r="G22"/>
  <c r="H22"/>
  <c r="I22"/>
  <c r="C12"/>
  <c r="D12"/>
  <c r="E12"/>
  <c r="F12"/>
  <c r="G12"/>
  <c r="H12"/>
  <c r="I12"/>
  <c r="C13"/>
  <c r="D13"/>
  <c r="E13"/>
  <c r="F13"/>
  <c r="G13"/>
  <c r="H13"/>
  <c r="I13"/>
  <c r="C14"/>
  <c r="D14"/>
  <c r="E14"/>
  <c r="F14"/>
  <c r="G14"/>
  <c r="H14"/>
  <c r="I14"/>
  <c r="C15"/>
  <c r="D15"/>
  <c r="E15"/>
  <c r="F15"/>
  <c r="G15"/>
  <c r="H15"/>
  <c r="I15"/>
  <c r="M5"/>
  <c r="N5"/>
  <c r="O5"/>
  <c r="P5"/>
  <c r="Q5"/>
  <c r="R5"/>
  <c r="S5"/>
  <c r="M6"/>
  <c r="N6"/>
  <c r="O6"/>
  <c r="P6"/>
  <c r="Q6"/>
  <c r="R6"/>
  <c r="S6"/>
  <c r="M7"/>
  <c r="N7"/>
  <c r="O7"/>
  <c r="P7"/>
  <c r="Q7"/>
  <c r="R7"/>
  <c r="S7"/>
  <c r="M8"/>
  <c r="N8"/>
  <c r="O8"/>
  <c r="P8"/>
  <c r="Q8"/>
  <c r="R8"/>
  <c r="S8"/>
  <c r="H5"/>
  <c r="I5"/>
  <c r="H6"/>
  <c r="I6"/>
  <c r="H7"/>
  <c r="I7"/>
  <c r="H8"/>
  <c r="I8"/>
  <c r="L34"/>
  <c r="L35"/>
  <c r="L36"/>
  <c r="L33"/>
  <c r="C33"/>
  <c r="D33"/>
  <c r="E33"/>
  <c r="F33"/>
  <c r="G33"/>
  <c r="C34"/>
  <c r="D34"/>
  <c r="E34"/>
  <c r="F34"/>
  <c r="G34"/>
  <c r="C35"/>
  <c r="D35"/>
  <c r="E35"/>
  <c r="F35"/>
  <c r="G35"/>
  <c r="C36"/>
  <c r="D36"/>
  <c r="E36"/>
  <c r="F36"/>
  <c r="G36"/>
  <c r="B34"/>
  <c r="B35"/>
  <c r="B36"/>
  <c r="B33"/>
  <c r="L27"/>
  <c r="L28"/>
  <c r="L29"/>
  <c r="L26"/>
  <c r="C26"/>
  <c r="D26"/>
  <c r="E26"/>
  <c r="F26"/>
  <c r="G26"/>
  <c r="C27"/>
  <c r="D27"/>
  <c r="E27"/>
  <c r="F27"/>
  <c r="G27"/>
  <c r="C28"/>
  <c r="D28"/>
  <c r="E28"/>
  <c r="F28"/>
  <c r="G28"/>
  <c r="C29"/>
  <c r="D29"/>
  <c r="E29"/>
  <c r="F29"/>
  <c r="G29"/>
  <c r="B27"/>
  <c r="B28"/>
  <c r="B29"/>
  <c r="B26"/>
  <c r="L20"/>
  <c r="L21"/>
  <c r="L22"/>
  <c r="L19"/>
  <c r="B20"/>
  <c r="B21"/>
  <c r="B22"/>
  <c r="B19"/>
  <c r="M12"/>
  <c r="N12"/>
  <c r="O12"/>
  <c r="P12"/>
  <c r="Q12"/>
  <c r="M13"/>
  <c r="N13"/>
  <c r="O13"/>
  <c r="P13"/>
  <c r="Q13"/>
  <c r="M14"/>
  <c r="N14"/>
  <c r="O14"/>
  <c r="P14"/>
  <c r="Q14"/>
  <c r="M15"/>
  <c r="N15"/>
  <c r="O15"/>
  <c r="P15"/>
  <c r="Q15"/>
  <c r="L13"/>
  <c r="L14"/>
  <c r="L15"/>
  <c r="L12"/>
  <c r="B13"/>
  <c r="B14"/>
  <c r="B15"/>
  <c r="B12"/>
  <c r="L6"/>
  <c r="L7"/>
  <c r="L8"/>
  <c r="L5"/>
  <c r="C5"/>
  <c r="D5"/>
  <c r="E5"/>
  <c r="F5"/>
  <c r="G5"/>
  <c r="C6"/>
  <c r="D6"/>
  <c r="E6"/>
  <c r="F6"/>
  <c r="G6"/>
  <c r="C7"/>
  <c r="D7"/>
  <c r="E7"/>
  <c r="F7"/>
  <c r="G7"/>
  <c r="C8"/>
  <c r="D8"/>
  <c r="E8"/>
  <c r="F8"/>
  <c r="G8"/>
  <c r="B6"/>
  <c r="B7"/>
  <c r="B8"/>
  <c r="B5"/>
  <c r="W5" l="1"/>
  <c r="X5"/>
  <c r="Y5"/>
  <c r="AB5"/>
  <c r="V5"/>
  <c r="AC5"/>
  <c r="Z5"/>
  <c r="AA5"/>
</calcChain>
</file>

<file path=xl/sharedStrings.xml><?xml version="1.0" encoding="utf-8"?>
<sst xmlns="http://schemas.openxmlformats.org/spreadsheetml/2006/main" count="132" uniqueCount="28">
  <si>
    <t>PIS</t>
  </si>
  <si>
    <t>Metoda D’Hondta</t>
  </si>
  <si>
    <t>Metoda Sainte-Laguë</t>
  </si>
  <si>
    <t>RDM</t>
  </si>
  <si>
    <t>RPS</t>
  </si>
  <si>
    <t>ZDR</t>
  </si>
  <si>
    <t>WR</t>
  </si>
  <si>
    <t>KP</t>
  </si>
  <si>
    <t>NPRP</t>
  </si>
  <si>
    <t>BIK</t>
  </si>
  <si>
    <t>Biorący udział w podziale mandatów</t>
  </si>
  <si>
    <t>Suma głosów</t>
  </si>
  <si>
    <t>Odsetek głosów</t>
  </si>
  <si>
    <t xml:space="preserve">PIS </t>
  </si>
  <si>
    <t>KWW RADOMSKI PAKT SAMORZĄDOWY R. WITKOWSKIEGO</t>
  </si>
  <si>
    <t>KW PRAWO I SPRAWIEDLIWOŚĆ</t>
  </si>
  <si>
    <t>KWW NOWEGO PREZYDENTA RADOMIA ROBERTA PRYGLA</t>
  </si>
  <si>
    <t>KWW KONFEDERACJA PRZYJACIÓŁ</t>
  </si>
  <si>
    <t>KWW WIDZIALNY RADOM</t>
  </si>
  <si>
    <t>KWW RADOM DLA MIESZKAŃCÓW</t>
  </si>
  <si>
    <t>KWW ZJEDNOCZENI DLA RADOMIA</t>
  </si>
  <si>
    <t>KWW BEZPIECZEŃSTWO I KULTURA</t>
  </si>
  <si>
    <t>Komitety:</t>
  </si>
  <si>
    <t>Uzyskane mandaty gdyby użyto metody Sainte-Laguë</t>
  </si>
  <si>
    <t>Uzyskane mandaty według obowiązującej metody D’Hondta</t>
  </si>
  <si>
    <t>Liczba wyborców bez reprezentacji:</t>
  </si>
  <si>
    <t>https://wybory.gov.pl/samorzad2024/pl/rada_gminy/okregi/146300</t>
  </si>
  <si>
    <t>Źródło: PKW, dostęp: 8 kwietnia 2024 19:08</t>
  </si>
</sst>
</file>

<file path=xl/styles.xml><?xml version="1.0" encoding="utf-8"?>
<styleSheet xmlns="http://schemas.openxmlformats.org/spreadsheetml/2006/main">
  <fonts count="3">
    <font>
      <sz val="11"/>
      <color theme="1"/>
      <name val="Czcionka tekstu podstawowego"/>
      <family val="2"/>
      <charset val="238"/>
    </font>
    <font>
      <u/>
      <sz val="11"/>
      <color theme="10"/>
      <name val="Czcionka tekstu podstawowego"/>
      <family val="2"/>
      <charset val="238"/>
    </font>
    <font>
      <b/>
      <sz val="14"/>
      <color theme="1"/>
      <name val="Czcionka tekstu podstawowego"/>
      <charset val="23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1" fontId="0" fillId="0" borderId="0" xfId="0" applyNumberFormat="1"/>
    <xf numFmtId="3" fontId="0" fillId="0" borderId="0" xfId="0" applyNumberFormat="1"/>
    <xf numFmtId="2" fontId="0" fillId="0" borderId="0" xfId="0" applyNumberFormat="1"/>
    <xf numFmtId="2" fontId="0" fillId="0" borderId="0" xfId="0" applyNumberFormat="1" applyFill="1"/>
    <xf numFmtId="0" fontId="2" fillId="0" borderId="0" xfId="0" applyFont="1"/>
    <xf numFmtId="0" fontId="0" fillId="2" borderId="0" xfId="0" applyFill="1"/>
    <xf numFmtId="1" fontId="0" fillId="2" borderId="0" xfId="0" applyNumberFormat="1" applyFill="1"/>
    <xf numFmtId="0" fontId="1" fillId="0" borderId="0" xfId="1" applyAlignment="1" applyProtection="1"/>
  </cellXfs>
  <cellStyles count="2">
    <cellStyle name="Hiperłącze" xfId="1" builtinId="8"/>
    <cellStyle name="Normalny" xfId="0" builtinId="0"/>
  </cellStyles>
  <dxfs count="11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ybory.gov.pl/samorzad2024/pl/rada_gminy/okregi/146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39"/>
  <sheetViews>
    <sheetView showGridLines="0" tabSelected="1" zoomScale="85" zoomScaleNormal="85" workbookViewId="0">
      <selection activeCell="AJ7" sqref="AJ7"/>
    </sheetView>
  </sheetViews>
  <sheetFormatPr defaultRowHeight="14.25"/>
  <cols>
    <col min="1" max="1" width="3.125" customWidth="1"/>
    <col min="10" max="10" width="3.5" customWidth="1"/>
    <col min="11" max="11" width="2.625" customWidth="1"/>
    <col min="20" max="20" width="2.75" customWidth="1"/>
    <col min="21" max="21" width="14.625" customWidth="1"/>
    <col min="30" max="30" width="2.625" customWidth="1"/>
  </cols>
  <sheetData>
    <row r="1" spans="1:32" s="5" customFormat="1" ht="18">
      <c r="B1" s="5" t="s">
        <v>2</v>
      </c>
      <c r="L1" s="5" t="s">
        <v>1</v>
      </c>
      <c r="U1" s="5" t="s">
        <v>10</v>
      </c>
    </row>
    <row r="3" spans="1:32">
      <c r="B3" t="s">
        <v>0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L3" t="s">
        <v>0</v>
      </c>
      <c r="M3" t="s">
        <v>3</v>
      </c>
      <c r="N3" t="s">
        <v>4</v>
      </c>
      <c r="O3" t="s">
        <v>5</v>
      </c>
      <c r="P3" t="s">
        <v>6</v>
      </c>
      <c r="Q3" t="s">
        <v>7</v>
      </c>
      <c r="R3" t="s">
        <v>8</v>
      </c>
      <c r="S3" t="s">
        <v>9</v>
      </c>
      <c r="V3" t="s">
        <v>0</v>
      </c>
      <c r="W3" t="s">
        <v>3</v>
      </c>
      <c r="X3" t="s">
        <v>4</v>
      </c>
      <c r="Y3" t="s">
        <v>5</v>
      </c>
      <c r="Z3" t="s">
        <v>6</v>
      </c>
      <c r="AA3" t="s">
        <v>7</v>
      </c>
      <c r="AB3" t="s">
        <v>8</v>
      </c>
      <c r="AC3" t="s">
        <v>9</v>
      </c>
    </row>
    <row r="4" spans="1:32">
      <c r="A4">
        <v>1</v>
      </c>
      <c r="B4" s="1">
        <v>4767</v>
      </c>
      <c r="C4" s="1">
        <v>644</v>
      </c>
      <c r="D4" s="1">
        <v>5893</v>
      </c>
      <c r="E4" s="1">
        <v>309</v>
      </c>
      <c r="F4" s="1">
        <v>448</v>
      </c>
      <c r="G4" s="1">
        <v>709</v>
      </c>
      <c r="H4" s="1">
        <v>1106</v>
      </c>
      <c r="I4" s="1">
        <v>111</v>
      </c>
      <c r="J4" s="1"/>
      <c r="K4">
        <v>1</v>
      </c>
      <c r="L4" s="1">
        <v>4767</v>
      </c>
      <c r="M4" s="1">
        <v>644</v>
      </c>
      <c r="N4" s="1">
        <v>5893</v>
      </c>
      <c r="O4" s="1">
        <v>309</v>
      </c>
      <c r="P4" s="1">
        <v>448</v>
      </c>
      <c r="Q4" s="1">
        <v>709</v>
      </c>
      <c r="R4" s="1">
        <v>1106</v>
      </c>
      <c r="S4" s="1">
        <v>111</v>
      </c>
      <c r="U4" t="s">
        <v>11</v>
      </c>
      <c r="V4" s="1">
        <f>SUM(B4+B11+B18+B25+B32)</f>
        <v>27795</v>
      </c>
      <c r="W4" s="1">
        <f t="shared" ref="W4:AC4" si="0">SUM(C4+C11+C18+C25+C32)</f>
        <v>2114</v>
      </c>
      <c r="X4" s="1">
        <f t="shared" si="0"/>
        <v>29159</v>
      </c>
      <c r="Y4" s="1">
        <f t="shared" si="0"/>
        <v>1330</v>
      </c>
      <c r="Z4" s="1">
        <f t="shared" si="0"/>
        <v>2166</v>
      </c>
      <c r="AA4" s="1">
        <f t="shared" si="0"/>
        <v>3078</v>
      </c>
      <c r="AB4" s="1">
        <f t="shared" si="0"/>
        <v>7229</v>
      </c>
      <c r="AC4" s="1">
        <f t="shared" si="0"/>
        <v>111</v>
      </c>
    </row>
    <row r="5" spans="1:32">
      <c r="A5">
        <v>3</v>
      </c>
      <c r="B5" s="1">
        <f t="shared" ref="B5:I5" si="1">B$4/$A5</f>
        <v>1589</v>
      </c>
      <c r="C5" s="1">
        <f t="shared" si="1"/>
        <v>214.66666666666666</v>
      </c>
      <c r="D5" s="1">
        <f t="shared" si="1"/>
        <v>1964.3333333333333</v>
      </c>
      <c r="E5" s="1">
        <f t="shared" si="1"/>
        <v>103</v>
      </c>
      <c r="F5" s="1">
        <f t="shared" si="1"/>
        <v>149.33333333333334</v>
      </c>
      <c r="G5" s="1">
        <f t="shared" si="1"/>
        <v>236.33333333333334</v>
      </c>
      <c r="H5" s="1">
        <f t="shared" si="1"/>
        <v>368.66666666666669</v>
      </c>
      <c r="I5" s="1">
        <f t="shared" si="1"/>
        <v>37</v>
      </c>
      <c r="J5" s="1"/>
      <c r="K5">
        <v>2</v>
      </c>
      <c r="L5" s="1">
        <f t="shared" ref="L5:S8" si="2">L$4/$K5</f>
        <v>2383.5</v>
      </c>
      <c r="M5" s="1">
        <f t="shared" si="2"/>
        <v>322</v>
      </c>
      <c r="N5" s="1">
        <f t="shared" si="2"/>
        <v>2946.5</v>
      </c>
      <c r="O5" s="1">
        <f t="shared" si="2"/>
        <v>154.5</v>
      </c>
      <c r="P5" s="1">
        <f t="shared" si="2"/>
        <v>224</v>
      </c>
      <c r="Q5" s="1">
        <f t="shared" si="2"/>
        <v>354.5</v>
      </c>
      <c r="R5" s="1">
        <f t="shared" si="2"/>
        <v>553</v>
      </c>
      <c r="S5" s="1">
        <f t="shared" si="2"/>
        <v>55.5</v>
      </c>
      <c r="U5" t="s">
        <v>12</v>
      </c>
      <c r="V5" s="4">
        <f>V4/SUM($V$4:$AC$4)*100</f>
        <v>38.084733221890325</v>
      </c>
      <c r="W5" s="4">
        <f t="shared" ref="W5:AC5" si="3">W4/SUM($V$4:$AC$4)*100</f>
        <v>2.8966046422405527</v>
      </c>
      <c r="X5" s="4">
        <f t="shared" si="3"/>
        <v>39.953687210545063</v>
      </c>
      <c r="Y5" s="4">
        <f t="shared" si="3"/>
        <v>1.8223671590255131</v>
      </c>
      <c r="Z5" s="4">
        <f t="shared" si="3"/>
        <v>2.9678550875558356</v>
      </c>
      <c r="AA5" s="4">
        <f t="shared" si="3"/>
        <v>4.2174782823161872</v>
      </c>
      <c r="AB5" s="4">
        <f t="shared" si="3"/>
        <v>9.905182099695816</v>
      </c>
      <c r="AC5" s="4">
        <f t="shared" si="3"/>
        <v>0.15209229673070071</v>
      </c>
    </row>
    <row r="6" spans="1:32">
      <c r="A6">
        <v>5</v>
      </c>
      <c r="B6" s="1">
        <f t="shared" ref="B6:I8" si="4">B$4/$A6</f>
        <v>953.4</v>
      </c>
      <c r="C6" s="1">
        <f t="shared" si="4"/>
        <v>128.80000000000001</v>
      </c>
      <c r="D6" s="1">
        <f t="shared" si="4"/>
        <v>1178.5999999999999</v>
      </c>
      <c r="E6" s="1">
        <f t="shared" si="4"/>
        <v>61.8</v>
      </c>
      <c r="F6" s="1">
        <f t="shared" si="4"/>
        <v>89.6</v>
      </c>
      <c r="G6" s="1">
        <f t="shared" si="4"/>
        <v>141.80000000000001</v>
      </c>
      <c r="H6" s="1">
        <f t="shared" si="4"/>
        <v>221.2</v>
      </c>
      <c r="I6" s="1">
        <f t="shared" si="4"/>
        <v>22.2</v>
      </c>
      <c r="J6" s="1"/>
      <c r="K6">
        <v>3</v>
      </c>
      <c r="L6" s="1">
        <f t="shared" si="2"/>
        <v>1589</v>
      </c>
      <c r="M6" s="1">
        <f t="shared" si="2"/>
        <v>214.66666666666666</v>
      </c>
      <c r="N6" s="1">
        <f t="shared" si="2"/>
        <v>1964.3333333333333</v>
      </c>
      <c r="O6" s="1">
        <f t="shared" si="2"/>
        <v>103</v>
      </c>
      <c r="P6" s="1">
        <f t="shared" si="2"/>
        <v>149.33333333333334</v>
      </c>
      <c r="Q6" s="1">
        <f t="shared" si="2"/>
        <v>236.33333333333334</v>
      </c>
      <c r="R6" s="1">
        <f t="shared" si="2"/>
        <v>368.66666666666669</v>
      </c>
      <c r="S6" s="1">
        <f t="shared" si="2"/>
        <v>37</v>
      </c>
    </row>
    <row r="7" spans="1:32">
      <c r="A7">
        <v>7</v>
      </c>
      <c r="B7" s="1">
        <f t="shared" si="4"/>
        <v>681</v>
      </c>
      <c r="C7" s="1">
        <f t="shared" si="4"/>
        <v>92</v>
      </c>
      <c r="D7" s="1">
        <f t="shared" si="4"/>
        <v>841.85714285714289</v>
      </c>
      <c r="E7" s="1">
        <f t="shared" si="4"/>
        <v>44.142857142857146</v>
      </c>
      <c r="F7" s="1">
        <f t="shared" si="4"/>
        <v>64</v>
      </c>
      <c r="G7" s="1">
        <f t="shared" si="4"/>
        <v>101.28571428571429</v>
      </c>
      <c r="H7" s="1">
        <f t="shared" si="4"/>
        <v>158</v>
      </c>
      <c r="I7" s="1">
        <f t="shared" si="4"/>
        <v>15.857142857142858</v>
      </c>
      <c r="J7" s="1"/>
      <c r="K7">
        <v>4</v>
      </c>
      <c r="L7" s="1">
        <f t="shared" si="2"/>
        <v>1191.75</v>
      </c>
      <c r="M7" s="1">
        <f t="shared" si="2"/>
        <v>161</v>
      </c>
      <c r="N7" s="1">
        <f t="shared" si="2"/>
        <v>1473.25</v>
      </c>
      <c r="O7" s="1">
        <f t="shared" si="2"/>
        <v>77.25</v>
      </c>
      <c r="P7" s="1">
        <f t="shared" si="2"/>
        <v>112</v>
      </c>
      <c r="Q7" s="1">
        <f t="shared" si="2"/>
        <v>177.25</v>
      </c>
      <c r="R7" s="1">
        <f t="shared" si="2"/>
        <v>276.5</v>
      </c>
      <c r="S7" s="1">
        <f t="shared" si="2"/>
        <v>27.75</v>
      </c>
    </row>
    <row r="8" spans="1:32">
      <c r="A8">
        <v>9</v>
      </c>
      <c r="B8" s="1">
        <f t="shared" si="4"/>
        <v>529.66666666666663</v>
      </c>
      <c r="C8" s="1">
        <f t="shared" si="4"/>
        <v>71.555555555555557</v>
      </c>
      <c r="D8" s="1">
        <f t="shared" si="4"/>
        <v>654.77777777777783</v>
      </c>
      <c r="E8" s="1">
        <f t="shared" si="4"/>
        <v>34.333333333333336</v>
      </c>
      <c r="F8" s="1">
        <f t="shared" si="4"/>
        <v>49.777777777777779</v>
      </c>
      <c r="G8" s="1">
        <f t="shared" si="4"/>
        <v>78.777777777777771</v>
      </c>
      <c r="H8" s="1">
        <f t="shared" si="4"/>
        <v>122.88888888888889</v>
      </c>
      <c r="I8" s="1">
        <f t="shared" si="4"/>
        <v>12.333333333333334</v>
      </c>
      <c r="J8" s="1"/>
      <c r="K8">
        <v>5</v>
      </c>
      <c r="L8" s="1">
        <f t="shared" si="2"/>
        <v>953.4</v>
      </c>
      <c r="M8" s="1">
        <f t="shared" si="2"/>
        <v>128.80000000000001</v>
      </c>
      <c r="N8" s="1">
        <f t="shared" si="2"/>
        <v>1178.5999999999999</v>
      </c>
      <c r="O8" s="1">
        <f t="shared" si="2"/>
        <v>61.8</v>
      </c>
      <c r="P8" s="1">
        <f t="shared" si="2"/>
        <v>89.6</v>
      </c>
      <c r="Q8" s="1">
        <f t="shared" si="2"/>
        <v>141.80000000000001</v>
      </c>
      <c r="R8" s="1">
        <f t="shared" si="2"/>
        <v>221.2</v>
      </c>
      <c r="S8" s="1">
        <f t="shared" si="2"/>
        <v>22.2</v>
      </c>
    </row>
    <row r="9" spans="1:32" ht="18">
      <c r="U9" s="5" t="s">
        <v>23</v>
      </c>
    </row>
    <row r="10" spans="1:32">
      <c r="B10" t="s">
        <v>0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L10" t="s">
        <v>0</v>
      </c>
      <c r="M10" t="s">
        <v>3</v>
      </c>
      <c r="N10" t="s">
        <v>4</v>
      </c>
      <c r="O10" t="s">
        <v>5</v>
      </c>
      <c r="P10" t="s">
        <v>6</v>
      </c>
      <c r="Q10" t="s">
        <v>7</v>
      </c>
      <c r="R10" t="s">
        <v>8</v>
      </c>
      <c r="S10" t="s">
        <v>9</v>
      </c>
      <c r="V10" t="s">
        <v>0</v>
      </c>
      <c r="W10" t="s">
        <v>3</v>
      </c>
      <c r="X10" t="s">
        <v>4</v>
      </c>
      <c r="Y10" t="s">
        <v>5</v>
      </c>
      <c r="Z10" t="s">
        <v>6</v>
      </c>
      <c r="AA10" t="s">
        <v>7</v>
      </c>
      <c r="AB10" t="s">
        <v>8</v>
      </c>
      <c r="AC10" t="s">
        <v>9</v>
      </c>
      <c r="AE10" t="s">
        <v>25</v>
      </c>
    </row>
    <row r="11" spans="1:32">
      <c r="A11">
        <v>1</v>
      </c>
      <c r="B11" s="1">
        <v>4936</v>
      </c>
      <c r="C11" s="1">
        <v>318</v>
      </c>
      <c r="D11" s="1">
        <v>5496</v>
      </c>
      <c r="E11" s="1">
        <v>229</v>
      </c>
      <c r="F11" s="1">
        <v>387</v>
      </c>
      <c r="G11" s="1">
        <v>570</v>
      </c>
      <c r="H11" s="2">
        <v>1598</v>
      </c>
      <c r="I11" s="1">
        <v>0</v>
      </c>
      <c r="J11" s="1"/>
      <c r="K11">
        <v>1</v>
      </c>
      <c r="L11" s="1">
        <v>4936</v>
      </c>
      <c r="M11" s="1">
        <v>318</v>
      </c>
      <c r="N11" s="1">
        <v>5496</v>
      </c>
      <c r="O11" s="1">
        <v>229</v>
      </c>
      <c r="P11" s="1">
        <v>387</v>
      </c>
      <c r="Q11" s="1">
        <v>570</v>
      </c>
      <c r="R11">
        <v>1598</v>
      </c>
      <c r="S11">
        <v>0</v>
      </c>
      <c r="V11" s="6">
        <v>11</v>
      </c>
      <c r="W11">
        <v>0</v>
      </c>
      <c r="X11" s="6">
        <v>11</v>
      </c>
      <c r="Y11">
        <v>0</v>
      </c>
      <c r="Z11">
        <v>0</v>
      </c>
      <c r="AA11">
        <v>0</v>
      </c>
      <c r="AB11" s="6">
        <v>3</v>
      </c>
      <c r="AC11">
        <v>0</v>
      </c>
      <c r="AE11" s="1">
        <f>W4+Y4+Z4+AA4+AC4</f>
        <v>8799</v>
      </c>
      <c r="AF11" s="3">
        <f>AE11/SUM(V4:AC4)*100</f>
        <v>12.05639746786879</v>
      </c>
    </row>
    <row r="12" spans="1:32">
      <c r="A12">
        <v>3</v>
      </c>
      <c r="B12" s="1">
        <f t="shared" ref="B12:I15" si="5">B$11/$A12</f>
        <v>1645.3333333333333</v>
      </c>
      <c r="C12" s="1">
        <f t="shared" si="5"/>
        <v>106</v>
      </c>
      <c r="D12" s="1">
        <f t="shared" si="5"/>
        <v>1832</v>
      </c>
      <c r="E12" s="1">
        <f t="shared" si="5"/>
        <v>76.333333333333329</v>
      </c>
      <c r="F12" s="1">
        <f t="shared" si="5"/>
        <v>129</v>
      </c>
      <c r="G12" s="1">
        <f t="shared" si="5"/>
        <v>190</v>
      </c>
      <c r="H12" s="1">
        <f t="shared" si="5"/>
        <v>532.66666666666663</v>
      </c>
      <c r="I12" s="1">
        <f t="shared" si="5"/>
        <v>0</v>
      </c>
      <c r="J12" s="1"/>
      <c r="K12">
        <v>2</v>
      </c>
      <c r="L12" s="1">
        <f t="shared" ref="L12:S12" si="6">L$11/$K12</f>
        <v>2468</v>
      </c>
      <c r="M12" s="1">
        <f t="shared" si="6"/>
        <v>159</v>
      </c>
      <c r="N12" s="1">
        <f t="shared" si="6"/>
        <v>2748</v>
      </c>
      <c r="O12" s="1">
        <f t="shared" si="6"/>
        <v>114.5</v>
      </c>
      <c r="P12" s="1">
        <f t="shared" si="6"/>
        <v>193.5</v>
      </c>
      <c r="Q12" s="1">
        <f t="shared" si="6"/>
        <v>285</v>
      </c>
      <c r="R12" s="1">
        <f t="shared" si="6"/>
        <v>799</v>
      </c>
      <c r="S12" s="1">
        <f t="shared" si="6"/>
        <v>0</v>
      </c>
    </row>
    <row r="13" spans="1:32">
      <c r="A13">
        <v>5</v>
      </c>
      <c r="B13" s="1">
        <f t="shared" si="5"/>
        <v>987.2</v>
      </c>
      <c r="C13" s="1">
        <f t="shared" si="5"/>
        <v>63.6</v>
      </c>
      <c r="D13" s="1">
        <f t="shared" si="5"/>
        <v>1099.2</v>
      </c>
      <c r="E13" s="1">
        <f t="shared" si="5"/>
        <v>45.8</v>
      </c>
      <c r="F13" s="1">
        <f t="shared" si="5"/>
        <v>77.400000000000006</v>
      </c>
      <c r="G13" s="1">
        <f t="shared" si="5"/>
        <v>114</v>
      </c>
      <c r="H13" s="1">
        <f t="shared" si="5"/>
        <v>319.60000000000002</v>
      </c>
      <c r="I13" s="1">
        <f t="shared" si="5"/>
        <v>0</v>
      </c>
      <c r="J13" s="1"/>
      <c r="K13">
        <v>3</v>
      </c>
      <c r="L13" s="1">
        <f t="shared" ref="L13:S15" si="7">L$11/$K13</f>
        <v>1645.3333333333333</v>
      </c>
      <c r="M13" s="1">
        <f t="shared" si="7"/>
        <v>106</v>
      </c>
      <c r="N13" s="1">
        <f t="shared" si="7"/>
        <v>1832</v>
      </c>
      <c r="O13" s="1">
        <f t="shared" si="7"/>
        <v>76.333333333333329</v>
      </c>
      <c r="P13" s="1">
        <f t="shared" si="7"/>
        <v>129</v>
      </c>
      <c r="Q13" s="1">
        <f t="shared" si="7"/>
        <v>190</v>
      </c>
      <c r="R13" s="1">
        <f t="shared" si="7"/>
        <v>532.66666666666663</v>
      </c>
      <c r="S13" s="1">
        <f t="shared" si="7"/>
        <v>0</v>
      </c>
    </row>
    <row r="14" spans="1:32">
      <c r="A14">
        <v>7</v>
      </c>
      <c r="B14" s="1">
        <f t="shared" si="5"/>
        <v>705.14285714285711</v>
      </c>
      <c r="C14" s="1">
        <f t="shared" si="5"/>
        <v>45.428571428571431</v>
      </c>
      <c r="D14" s="1">
        <f t="shared" si="5"/>
        <v>785.14285714285711</v>
      </c>
      <c r="E14" s="1">
        <f t="shared" si="5"/>
        <v>32.714285714285715</v>
      </c>
      <c r="F14" s="1">
        <f t="shared" si="5"/>
        <v>55.285714285714285</v>
      </c>
      <c r="G14" s="1">
        <f t="shared" si="5"/>
        <v>81.428571428571431</v>
      </c>
      <c r="H14" s="1">
        <f t="shared" si="5"/>
        <v>228.28571428571428</v>
      </c>
      <c r="I14" s="1">
        <f t="shared" si="5"/>
        <v>0</v>
      </c>
      <c r="J14" s="1"/>
      <c r="K14">
        <v>4</v>
      </c>
      <c r="L14" s="1">
        <f t="shared" si="7"/>
        <v>1234</v>
      </c>
      <c r="M14" s="1">
        <f t="shared" si="7"/>
        <v>79.5</v>
      </c>
      <c r="N14" s="1">
        <f t="shared" si="7"/>
        <v>1374</v>
      </c>
      <c r="O14" s="1">
        <f t="shared" si="7"/>
        <v>57.25</v>
      </c>
      <c r="P14" s="1">
        <f t="shared" si="7"/>
        <v>96.75</v>
      </c>
      <c r="Q14" s="1">
        <f t="shared" si="7"/>
        <v>142.5</v>
      </c>
      <c r="R14" s="1">
        <f t="shared" si="7"/>
        <v>399.5</v>
      </c>
      <c r="S14" s="1">
        <f t="shared" si="7"/>
        <v>0</v>
      </c>
    </row>
    <row r="15" spans="1:32">
      <c r="A15">
        <v>9</v>
      </c>
      <c r="B15" s="1">
        <f t="shared" si="5"/>
        <v>548.44444444444446</v>
      </c>
      <c r="C15" s="1">
        <f t="shared" si="5"/>
        <v>35.333333333333336</v>
      </c>
      <c r="D15" s="1">
        <f t="shared" si="5"/>
        <v>610.66666666666663</v>
      </c>
      <c r="E15" s="1">
        <f t="shared" si="5"/>
        <v>25.444444444444443</v>
      </c>
      <c r="F15" s="1">
        <f t="shared" si="5"/>
        <v>43</v>
      </c>
      <c r="G15" s="1">
        <f t="shared" si="5"/>
        <v>63.333333333333336</v>
      </c>
      <c r="H15" s="1">
        <f t="shared" si="5"/>
        <v>177.55555555555554</v>
      </c>
      <c r="I15" s="1">
        <f t="shared" si="5"/>
        <v>0</v>
      </c>
      <c r="J15" s="1"/>
      <c r="K15">
        <v>5</v>
      </c>
      <c r="L15" s="1">
        <f t="shared" si="7"/>
        <v>987.2</v>
      </c>
      <c r="M15" s="1">
        <f t="shared" si="7"/>
        <v>63.6</v>
      </c>
      <c r="N15" s="1">
        <f t="shared" si="7"/>
        <v>1099.2</v>
      </c>
      <c r="O15" s="1">
        <f t="shared" si="7"/>
        <v>45.8</v>
      </c>
      <c r="P15" s="1">
        <f t="shared" si="7"/>
        <v>77.400000000000006</v>
      </c>
      <c r="Q15" s="1">
        <f t="shared" si="7"/>
        <v>114</v>
      </c>
      <c r="R15" s="1">
        <f t="shared" si="7"/>
        <v>319.60000000000002</v>
      </c>
      <c r="S15" s="1">
        <f t="shared" si="7"/>
        <v>0</v>
      </c>
    </row>
    <row r="16" spans="1:32" ht="18">
      <c r="U16" s="5" t="s">
        <v>24</v>
      </c>
    </row>
    <row r="17" spans="1:32">
      <c r="B17" t="s">
        <v>0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L17" t="s">
        <v>0</v>
      </c>
      <c r="M17" t="s">
        <v>3</v>
      </c>
      <c r="N17" t="s">
        <v>4</v>
      </c>
      <c r="O17" t="s">
        <v>5</v>
      </c>
      <c r="P17" t="s">
        <v>6</v>
      </c>
      <c r="Q17" t="s">
        <v>7</v>
      </c>
      <c r="R17" t="s">
        <v>8</v>
      </c>
      <c r="S17" t="s">
        <v>9</v>
      </c>
      <c r="V17" t="s">
        <v>0</v>
      </c>
      <c r="W17" t="s">
        <v>3</v>
      </c>
      <c r="X17" t="s">
        <v>4</v>
      </c>
      <c r="Y17" t="s">
        <v>5</v>
      </c>
      <c r="Z17" t="s">
        <v>6</v>
      </c>
      <c r="AA17" t="s">
        <v>7</v>
      </c>
      <c r="AB17" t="s">
        <v>8</v>
      </c>
      <c r="AC17" t="s">
        <v>9</v>
      </c>
      <c r="AE17" t="s">
        <v>25</v>
      </c>
    </row>
    <row r="18" spans="1:32">
      <c r="A18">
        <v>1</v>
      </c>
      <c r="B18" s="1">
        <v>7201</v>
      </c>
      <c r="C18" s="1">
        <v>345</v>
      </c>
      <c r="D18" s="1">
        <v>5738</v>
      </c>
      <c r="E18" s="1">
        <v>247</v>
      </c>
      <c r="F18" s="1">
        <v>547</v>
      </c>
      <c r="G18" s="1">
        <v>448</v>
      </c>
      <c r="H18" s="1">
        <v>1426</v>
      </c>
      <c r="I18" s="1">
        <v>0</v>
      </c>
      <c r="J18" s="1"/>
      <c r="K18" s="1">
        <v>1</v>
      </c>
      <c r="L18" s="1">
        <v>7201</v>
      </c>
      <c r="M18" s="1">
        <v>345</v>
      </c>
      <c r="N18" s="1">
        <v>5738</v>
      </c>
      <c r="O18" s="1">
        <v>247</v>
      </c>
      <c r="P18" s="1">
        <v>547</v>
      </c>
      <c r="Q18" s="1">
        <v>448</v>
      </c>
      <c r="R18" s="1">
        <v>1426</v>
      </c>
      <c r="S18" s="1">
        <v>0</v>
      </c>
      <c r="V18" s="7">
        <v>12</v>
      </c>
      <c r="W18" s="1">
        <v>0</v>
      </c>
      <c r="X18" s="7">
        <v>13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E18" s="1">
        <f>W4+Y4+Z4+AA4+AC4+AB4</f>
        <v>16028</v>
      </c>
      <c r="AF18" s="3">
        <f>AE18/SUM(V4:AC4)*100</f>
        <v>21.961579567564605</v>
      </c>
    </row>
    <row r="19" spans="1:32">
      <c r="A19">
        <v>3</v>
      </c>
      <c r="B19" s="1">
        <f t="shared" ref="B19:I22" si="8">B$18/$A19</f>
        <v>2400.3333333333335</v>
      </c>
      <c r="C19" s="1">
        <f t="shared" si="8"/>
        <v>115</v>
      </c>
      <c r="D19" s="1">
        <f t="shared" si="8"/>
        <v>1912.6666666666667</v>
      </c>
      <c r="E19" s="1">
        <f t="shared" si="8"/>
        <v>82.333333333333329</v>
      </c>
      <c r="F19" s="1">
        <f t="shared" si="8"/>
        <v>182.33333333333334</v>
      </c>
      <c r="G19" s="1">
        <f t="shared" si="8"/>
        <v>149.33333333333334</v>
      </c>
      <c r="H19" s="1">
        <f t="shared" si="8"/>
        <v>475.33333333333331</v>
      </c>
      <c r="I19" s="1">
        <f t="shared" si="8"/>
        <v>0</v>
      </c>
      <c r="J19" s="1"/>
      <c r="K19" s="1">
        <v>2</v>
      </c>
      <c r="L19" s="1">
        <f t="shared" ref="L19:S22" si="9">L$18/$K19</f>
        <v>3600.5</v>
      </c>
      <c r="M19" s="1">
        <f t="shared" si="9"/>
        <v>172.5</v>
      </c>
      <c r="N19" s="1">
        <f t="shared" si="9"/>
        <v>2869</v>
      </c>
      <c r="O19" s="1">
        <f t="shared" si="9"/>
        <v>123.5</v>
      </c>
      <c r="P19" s="1">
        <f t="shared" si="9"/>
        <v>273.5</v>
      </c>
      <c r="Q19" s="1">
        <f t="shared" si="9"/>
        <v>224</v>
      </c>
      <c r="R19" s="1">
        <f t="shared" si="9"/>
        <v>713</v>
      </c>
      <c r="S19" s="1">
        <f t="shared" si="9"/>
        <v>0</v>
      </c>
    </row>
    <row r="20" spans="1:32">
      <c r="A20">
        <v>5</v>
      </c>
      <c r="B20" s="1">
        <f t="shared" si="8"/>
        <v>1440.2</v>
      </c>
      <c r="C20" s="1">
        <f t="shared" si="8"/>
        <v>69</v>
      </c>
      <c r="D20" s="1">
        <f t="shared" si="8"/>
        <v>1147.5999999999999</v>
      </c>
      <c r="E20" s="1">
        <f t="shared" si="8"/>
        <v>49.4</v>
      </c>
      <c r="F20" s="1">
        <f t="shared" si="8"/>
        <v>109.4</v>
      </c>
      <c r="G20" s="1">
        <f t="shared" si="8"/>
        <v>89.6</v>
      </c>
      <c r="H20" s="1">
        <f t="shared" si="8"/>
        <v>285.2</v>
      </c>
      <c r="I20" s="1">
        <f t="shared" si="8"/>
        <v>0</v>
      </c>
      <c r="J20" s="1"/>
      <c r="K20" s="1">
        <v>3</v>
      </c>
      <c r="L20" s="1">
        <f t="shared" si="9"/>
        <v>2400.3333333333335</v>
      </c>
      <c r="M20" s="1">
        <f t="shared" si="9"/>
        <v>115</v>
      </c>
      <c r="N20" s="1">
        <f t="shared" si="9"/>
        <v>1912.6666666666667</v>
      </c>
      <c r="O20" s="1">
        <f t="shared" si="9"/>
        <v>82.333333333333329</v>
      </c>
      <c r="P20" s="1">
        <f t="shared" si="9"/>
        <v>182.33333333333334</v>
      </c>
      <c r="Q20" s="1">
        <f t="shared" si="9"/>
        <v>149.33333333333334</v>
      </c>
      <c r="R20" s="1">
        <f t="shared" si="9"/>
        <v>475.33333333333331</v>
      </c>
      <c r="S20" s="1">
        <f t="shared" si="9"/>
        <v>0</v>
      </c>
    </row>
    <row r="21" spans="1:32">
      <c r="A21">
        <v>7</v>
      </c>
      <c r="B21" s="1">
        <f t="shared" si="8"/>
        <v>1028.7142857142858</v>
      </c>
      <c r="C21" s="1">
        <f t="shared" si="8"/>
        <v>49.285714285714285</v>
      </c>
      <c r="D21" s="1">
        <f t="shared" si="8"/>
        <v>819.71428571428567</v>
      </c>
      <c r="E21" s="1">
        <f t="shared" si="8"/>
        <v>35.285714285714285</v>
      </c>
      <c r="F21" s="1">
        <f t="shared" si="8"/>
        <v>78.142857142857139</v>
      </c>
      <c r="G21" s="1">
        <f t="shared" si="8"/>
        <v>64</v>
      </c>
      <c r="H21" s="1">
        <f t="shared" si="8"/>
        <v>203.71428571428572</v>
      </c>
      <c r="I21" s="1">
        <f t="shared" si="8"/>
        <v>0</v>
      </c>
      <c r="J21" s="1"/>
      <c r="K21" s="1">
        <v>4</v>
      </c>
      <c r="L21" s="1">
        <f t="shared" si="9"/>
        <v>1800.25</v>
      </c>
      <c r="M21" s="1">
        <f t="shared" si="9"/>
        <v>86.25</v>
      </c>
      <c r="N21" s="1">
        <f t="shared" si="9"/>
        <v>1434.5</v>
      </c>
      <c r="O21" s="1">
        <f t="shared" si="9"/>
        <v>61.75</v>
      </c>
      <c r="P21" s="1">
        <f t="shared" si="9"/>
        <v>136.75</v>
      </c>
      <c r="Q21" s="1">
        <f t="shared" si="9"/>
        <v>112</v>
      </c>
      <c r="R21" s="1">
        <f t="shared" si="9"/>
        <v>356.5</v>
      </c>
      <c r="S21" s="1">
        <f t="shared" si="9"/>
        <v>0</v>
      </c>
    </row>
    <row r="22" spans="1:32">
      <c r="A22">
        <v>9</v>
      </c>
      <c r="B22" s="1">
        <f t="shared" si="8"/>
        <v>800.11111111111109</v>
      </c>
      <c r="C22" s="1">
        <f t="shared" si="8"/>
        <v>38.333333333333336</v>
      </c>
      <c r="D22" s="1">
        <f t="shared" si="8"/>
        <v>637.55555555555554</v>
      </c>
      <c r="E22" s="1">
        <f t="shared" si="8"/>
        <v>27.444444444444443</v>
      </c>
      <c r="F22" s="1">
        <f t="shared" si="8"/>
        <v>60.777777777777779</v>
      </c>
      <c r="G22" s="1">
        <f t="shared" si="8"/>
        <v>49.777777777777779</v>
      </c>
      <c r="H22" s="1">
        <f t="shared" si="8"/>
        <v>158.44444444444446</v>
      </c>
      <c r="I22" s="1">
        <f t="shared" si="8"/>
        <v>0</v>
      </c>
      <c r="J22" s="1"/>
      <c r="K22" s="1">
        <v>5</v>
      </c>
      <c r="L22" s="1">
        <f t="shared" si="9"/>
        <v>1440.2</v>
      </c>
      <c r="M22" s="1">
        <f t="shared" si="9"/>
        <v>69</v>
      </c>
      <c r="N22" s="1">
        <f t="shared" si="9"/>
        <v>1147.5999999999999</v>
      </c>
      <c r="O22" s="1">
        <f t="shared" si="9"/>
        <v>49.4</v>
      </c>
      <c r="P22" s="1">
        <f t="shared" si="9"/>
        <v>109.4</v>
      </c>
      <c r="Q22" s="1">
        <f t="shared" si="9"/>
        <v>89.6</v>
      </c>
      <c r="R22" s="1">
        <f t="shared" si="9"/>
        <v>285.2</v>
      </c>
      <c r="S22" s="1">
        <f t="shared" si="9"/>
        <v>0</v>
      </c>
    </row>
    <row r="23" spans="1:32" ht="18">
      <c r="U23" s="5" t="s">
        <v>22</v>
      </c>
    </row>
    <row r="24" spans="1:32">
      <c r="B24" t="s">
        <v>0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L24" t="s">
        <v>0</v>
      </c>
      <c r="M24" t="s">
        <v>3</v>
      </c>
      <c r="N24" t="s">
        <v>4</v>
      </c>
      <c r="O24" t="s">
        <v>5</v>
      </c>
      <c r="P24" t="s">
        <v>6</v>
      </c>
      <c r="Q24" t="s">
        <v>7</v>
      </c>
      <c r="R24" t="s">
        <v>8</v>
      </c>
      <c r="S24" t="s">
        <v>9</v>
      </c>
      <c r="U24" t="s">
        <v>13</v>
      </c>
      <c r="V24" t="s">
        <v>15</v>
      </c>
    </row>
    <row r="25" spans="1:32">
      <c r="A25">
        <v>1</v>
      </c>
      <c r="B25" s="1">
        <v>5793</v>
      </c>
      <c r="C25" s="1">
        <v>440</v>
      </c>
      <c r="D25" s="1">
        <v>6947</v>
      </c>
      <c r="E25" s="1">
        <v>288</v>
      </c>
      <c r="F25" s="1">
        <v>432</v>
      </c>
      <c r="G25" s="1">
        <v>766</v>
      </c>
      <c r="H25" s="1">
        <v>1629</v>
      </c>
      <c r="I25" s="1">
        <v>0</v>
      </c>
      <c r="J25" s="1"/>
      <c r="K25" s="1">
        <v>1</v>
      </c>
      <c r="L25" s="1">
        <v>5793</v>
      </c>
      <c r="M25" s="1">
        <v>440</v>
      </c>
      <c r="N25" s="1">
        <v>6947</v>
      </c>
      <c r="O25" s="1">
        <v>288</v>
      </c>
      <c r="P25" s="1">
        <v>432</v>
      </c>
      <c r="Q25" s="1">
        <v>766</v>
      </c>
      <c r="R25" s="1">
        <v>1629</v>
      </c>
      <c r="S25" s="1">
        <v>0</v>
      </c>
      <c r="U25" t="s">
        <v>3</v>
      </c>
      <c r="V25" t="s">
        <v>19</v>
      </c>
    </row>
    <row r="26" spans="1:32">
      <c r="A26">
        <v>3</v>
      </c>
      <c r="B26" s="1">
        <f t="shared" ref="B26:I26" si="10">B$25/$A26</f>
        <v>1931</v>
      </c>
      <c r="C26" s="1">
        <f t="shared" si="10"/>
        <v>146.66666666666666</v>
      </c>
      <c r="D26" s="1">
        <f t="shared" si="10"/>
        <v>2315.6666666666665</v>
      </c>
      <c r="E26" s="1">
        <f t="shared" si="10"/>
        <v>96</v>
      </c>
      <c r="F26" s="1">
        <f t="shared" si="10"/>
        <v>144</v>
      </c>
      <c r="G26" s="1">
        <f t="shared" si="10"/>
        <v>255.33333333333334</v>
      </c>
      <c r="H26" s="1">
        <f t="shared" si="10"/>
        <v>543</v>
      </c>
      <c r="I26" s="1">
        <f t="shared" si="10"/>
        <v>0</v>
      </c>
      <c r="J26" s="1"/>
      <c r="K26" s="1">
        <v>2</v>
      </c>
      <c r="L26" s="1">
        <f t="shared" ref="L26:S29" si="11">L$25/$K26</f>
        <v>2896.5</v>
      </c>
      <c r="M26" s="1">
        <f t="shared" si="11"/>
        <v>220</v>
      </c>
      <c r="N26" s="1">
        <f t="shared" si="11"/>
        <v>3473.5</v>
      </c>
      <c r="O26" s="1">
        <f t="shared" si="11"/>
        <v>144</v>
      </c>
      <c r="P26" s="1">
        <f t="shared" si="11"/>
        <v>216</v>
      </c>
      <c r="Q26" s="1">
        <f t="shared" si="11"/>
        <v>383</v>
      </c>
      <c r="R26" s="1">
        <f t="shared" si="11"/>
        <v>814.5</v>
      </c>
      <c r="S26" s="1">
        <f t="shared" si="11"/>
        <v>0</v>
      </c>
      <c r="U26" t="s">
        <v>4</v>
      </c>
      <c r="V26" t="s">
        <v>14</v>
      </c>
    </row>
    <row r="27" spans="1:32">
      <c r="A27">
        <v>5</v>
      </c>
      <c r="B27" s="1">
        <f t="shared" ref="B27:I29" si="12">B$25/$A27</f>
        <v>1158.5999999999999</v>
      </c>
      <c r="C27" s="1">
        <f t="shared" si="12"/>
        <v>88</v>
      </c>
      <c r="D27" s="1">
        <f t="shared" si="12"/>
        <v>1389.4</v>
      </c>
      <c r="E27" s="1">
        <f t="shared" si="12"/>
        <v>57.6</v>
      </c>
      <c r="F27" s="1">
        <f t="shared" si="12"/>
        <v>86.4</v>
      </c>
      <c r="G27" s="1">
        <f t="shared" si="12"/>
        <v>153.19999999999999</v>
      </c>
      <c r="H27" s="1">
        <f t="shared" si="12"/>
        <v>325.8</v>
      </c>
      <c r="I27" s="1">
        <f t="shared" si="12"/>
        <v>0</v>
      </c>
      <c r="J27" s="1"/>
      <c r="K27" s="1">
        <v>3</v>
      </c>
      <c r="L27" s="1">
        <f t="shared" si="11"/>
        <v>1931</v>
      </c>
      <c r="M27" s="1">
        <f t="shared" si="11"/>
        <v>146.66666666666666</v>
      </c>
      <c r="N27" s="1">
        <f t="shared" si="11"/>
        <v>2315.6666666666665</v>
      </c>
      <c r="O27" s="1">
        <f t="shared" si="11"/>
        <v>96</v>
      </c>
      <c r="P27" s="1">
        <f t="shared" si="11"/>
        <v>144</v>
      </c>
      <c r="Q27" s="1">
        <f t="shared" si="11"/>
        <v>255.33333333333334</v>
      </c>
      <c r="R27" s="1">
        <f t="shared" si="11"/>
        <v>543</v>
      </c>
      <c r="S27" s="1">
        <f t="shared" si="11"/>
        <v>0</v>
      </c>
      <c r="U27" t="s">
        <v>5</v>
      </c>
      <c r="V27" t="s">
        <v>20</v>
      </c>
    </row>
    <row r="28" spans="1:32">
      <c r="A28">
        <v>7</v>
      </c>
      <c r="B28" s="1">
        <f t="shared" si="12"/>
        <v>827.57142857142856</v>
      </c>
      <c r="C28" s="1">
        <f t="shared" si="12"/>
        <v>62.857142857142854</v>
      </c>
      <c r="D28" s="1">
        <f t="shared" si="12"/>
        <v>992.42857142857144</v>
      </c>
      <c r="E28" s="1">
        <f t="shared" si="12"/>
        <v>41.142857142857146</v>
      </c>
      <c r="F28" s="1">
        <f t="shared" si="12"/>
        <v>61.714285714285715</v>
      </c>
      <c r="G28" s="1">
        <f t="shared" si="12"/>
        <v>109.42857142857143</v>
      </c>
      <c r="H28" s="1">
        <f t="shared" si="12"/>
        <v>232.71428571428572</v>
      </c>
      <c r="I28" s="1">
        <f t="shared" si="12"/>
        <v>0</v>
      </c>
      <c r="J28" s="1"/>
      <c r="K28" s="1">
        <v>4</v>
      </c>
      <c r="L28" s="1">
        <f t="shared" si="11"/>
        <v>1448.25</v>
      </c>
      <c r="M28" s="1">
        <f t="shared" si="11"/>
        <v>110</v>
      </c>
      <c r="N28" s="1">
        <f t="shared" si="11"/>
        <v>1736.75</v>
      </c>
      <c r="O28" s="1">
        <f t="shared" si="11"/>
        <v>72</v>
      </c>
      <c r="P28" s="1">
        <f t="shared" si="11"/>
        <v>108</v>
      </c>
      <c r="Q28" s="1">
        <f t="shared" si="11"/>
        <v>191.5</v>
      </c>
      <c r="R28" s="1">
        <f t="shared" si="11"/>
        <v>407.25</v>
      </c>
      <c r="S28" s="1">
        <f t="shared" si="11"/>
        <v>0</v>
      </c>
      <c r="U28" t="s">
        <v>6</v>
      </c>
      <c r="V28" t="s">
        <v>18</v>
      </c>
    </row>
    <row r="29" spans="1:32">
      <c r="A29">
        <v>9</v>
      </c>
      <c r="B29" s="1">
        <f t="shared" si="12"/>
        <v>643.66666666666663</v>
      </c>
      <c r="C29" s="1">
        <f t="shared" si="12"/>
        <v>48.888888888888886</v>
      </c>
      <c r="D29" s="1">
        <f t="shared" si="12"/>
        <v>771.88888888888891</v>
      </c>
      <c r="E29" s="1">
        <f t="shared" si="12"/>
        <v>32</v>
      </c>
      <c r="F29" s="1">
        <f t="shared" si="12"/>
        <v>48</v>
      </c>
      <c r="G29" s="1">
        <f t="shared" si="12"/>
        <v>85.111111111111114</v>
      </c>
      <c r="H29" s="1">
        <f t="shared" si="12"/>
        <v>181</v>
      </c>
      <c r="I29" s="1">
        <f t="shared" si="12"/>
        <v>0</v>
      </c>
      <c r="J29" s="1"/>
      <c r="K29" s="1">
        <v>5</v>
      </c>
      <c r="L29" s="1">
        <f t="shared" si="11"/>
        <v>1158.5999999999999</v>
      </c>
      <c r="M29" s="1">
        <f t="shared" si="11"/>
        <v>88</v>
      </c>
      <c r="N29" s="1">
        <f t="shared" si="11"/>
        <v>1389.4</v>
      </c>
      <c r="O29" s="1">
        <f t="shared" si="11"/>
        <v>57.6</v>
      </c>
      <c r="P29" s="1">
        <f t="shared" si="11"/>
        <v>86.4</v>
      </c>
      <c r="Q29" s="1">
        <f t="shared" si="11"/>
        <v>153.19999999999999</v>
      </c>
      <c r="R29" s="1">
        <f t="shared" si="11"/>
        <v>325.8</v>
      </c>
      <c r="S29" s="1">
        <f t="shared" si="11"/>
        <v>0</v>
      </c>
      <c r="U29" t="s">
        <v>7</v>
      </c>
      <c r="V29" t="s">
        <v>17</v>
      </c>
    </row>
    <row r="30" spans="1:32">
      <c r="U30" t="s">
        <v>8</v>
      </c>
      <c r="V30" t="s">
        <v>16</v>
      </c>
    </row>
    <row r="31" spans="1:32">
      <c r="B31" t="s">
        <v>0</v>
      </c>
      <c r="C31" t="s">
        <v>3</v>
      </c>
      <c r="D31" t="s">
        <v>4</v>
      </c>
      <c r="E31" t="s">
        <v>5</v>
      </c>
      <c r="F31" t="s">
        <v>6</v>
      </c>
      <c r="G31" t="s">
        <v>7</v>
      </c>
      <c r="H31" t="s">
        <v>8</v>
      </c>
      <c r="I31" t="s">
        <v>9</v>
      </c>
      <c r="L31" t="s">
        <v>0</v>
      </c>
      <c r="M31" t="s">
        <v>3</v>
      </c>
      <c r="N31" t="s">
        <v>4</v>
      </c>
      <c r="O31" t="s">
        <v>5</v>
      </c>
      <c r="P31" t="s">
        <v>6</v>
      </c>
      <c r="Q31" t="s">
        <v>7</v>
      </c>
      <c r="R31" t="s">
        <v>8</v>
      </c>
      <c r="S31" t="s">
        <v>9</v>
      </c>
      <c r="U31" t="s">
        <v>9</v>
      </c>
      <c r="V31" t="s">
        <v>21</v>
      </c>
    </row>
    <row r="32" spans="1:32">
      <c r="A32">
        <v>1</v>
      </c>
      <c r="B32" s="1">
        <v>5098</v>
      </c>
      <c r="C32" s="1">
        <v>367</v>
      </c>
      <c r="D32" s="1">
        <v>5085</v>
      </c>
      <c r="E32" s="1">
        <v>257</v>
      </c>
      <c r="F32" s="1">
        <v>352</v>
      </c>
      <c r="G32" s="1">
        <v>585</v>
      </c>
      <c r="H32" s="1">
        <v>1470</v>
      </c>
      <c r="I32" s="1">
        <v>0</v>
      </c>
      <c r="J32" s="1"/>
      <c r="K32" s="1">
        <v>1</v>
      </c>
      <c r="L32" s="1">
        <v>5098</v>
      </c>
      <c r="M32" s="1">
        <v>367</v>
      </c>
      <c r="N32" s="1">
        <v>5085</v>
      </c>
      <c r="O32" s="1">
        <v>257</v>
      </c>
      <c r="P32" s="1">
        <v>352</v>
      </c>
      <c r="Q32" s="1">
        <v>585</v>
      </c>
      <c r="R32" s="1">
        <v>1470</v>
      </c>
      <c r="S32" s="1">
        <v>0</v>
      </c>
    </row>
    <row r="33" spans="1:19">
      <c r="A33">
        <v>3</v>
      </c>
      <c r="B33" s="1">
        <f t="shared" ref="B33:I33" si="13">B$32/$A33</f>
        <v>1699.3333333333333</v>
      </c>
      <c r="C33" s="1">
        <f t="shared" si="13"/>
        <v>122.33333333333333</v>
      </c>
      <c r="D33" s="1">
        <f t="shared" si="13"/>
        <v>1695</v>
      </c>
      <c r="E33" s="1">
        <f t="shared" si="13"/>
        <v>85.666666666666671</v>
      </c>
      <c r="F33" s="1">
        <f t="shared" si="13"/>
        <v>117.33333333333333</v>
      </c>
      <c r="G33" s="1">
        <f t="shared" si="13"/>
        <v>195</v>
      </c>
      <c r="H33" s="1">
        <f t="shared" si="13"/>
        <v>490</v>
      </c>
      <c r="I33" s="1">
        <f t="shared" si="13"/>
        <v>0</v>
      </c>
      <c r="J33" s="1"/>
      <c r="K33" s="1">
        <v>2</v>
      </c>
      <c r="L33" s="1">
        <f t="shared" ref="L33:S36" si="14">L$32/$K33</f>
        <v>2549</v>
      </c>
      <c r="M33" s="1">
        <f t="shared" si="14"/>
        <v>183.5</v>
      </c>
      <c r="N33" s="1">
        <f t="shared" si="14"/>
        <v>2542.5</v>
      </c>
      <c r="O33" s="1">
        <f t="shared" si="14"/>
        <v>128.5</v>
      </c>
      <c r="P33" s="1">
        <f t="shared" si="14"/>
        <v>176</v>
      </c>
      <c r="Q33" s="1">
        <f t="shared" si="14"/>
        <v>292.5</v>
      </c>
      <c r="R33" s="1">
        <f t="shared" si="14"/>
        <v>735</v>
      </c>
      <c r="S33" s="1">
        <f t="shared" si="14"/>
        <v>0</v>
      </c>
    </row>
    <row r="34" spans="1:19">
      <c r="A34">
        <v>5</v>
      </c>
      <c r="B34" s="1">
        <f t="shared" ref="B34:I36" si="15">B$32/$A34</f>
        <v>1019.6</v>
      </c>
      <c r="C34" s="1">
        <f t="shared" si="15"/>
        <v>73.400000000000006</v>
      </c>
      <c r="D34" s="1">
        <f t="shared" si="15"/>
        <v>1017</v>
      </c>
      <c r="E34" s="1">
        <f t="shared" si="15"/>
        <v>51.4</v>
      </c>
      <c r="F34" s="1">
        <f t="shared" si="15"/>
        <v>70.400000000000006</v>
      </c>
      <c r="G34" s="1">
        <f t="shared" si="15"/>
        <v>117</v>
      </c>
      <c r="H34" s="1">
        <f t="shared" si="15"/>
        <v>294</v>
      </c>
      <c r="I34" s="1">
        <f t="shared" si="15"/>
        <v>0</v>
      </c>
      <c r="J34" s="1"/>
      <c r="K34" s="1">
        <v>3</v>
      </c>
      <c r="L34" s="1">
        <f t="shared" si="14"/>
        <v>1699.3333333333333</v>
      </c>
      <c r="M34" s="1">
        <f t="shared" si="14"/>
        <v>122.33333333333333</v>
      </c>
      <c r="N34" s="1">
        <f t="shared" si="14"/>
        <v>1695</v>
      </c>
      <c r="O34" s="1">
        <f t="shared" si="14"/>
        <v>85.666666666666671</v>
      </c>
      <c r="P34" s="1">
        <f t="shared" si="14"/>
        <v>117.33333333333333</v>
      </c>
      <c r="Q34" s="1">
        <f t="shared" si="14"/>
        <v>195</v>
      </c>
      <c r="R34" s="1">
        <f t="shared" si="14"/>
        <v>490</v>
      </c>
      <c r="S34" s="1">
        <f t="shared" si="14"/>
        <v>0</v>
      </c>
    </row>
    <row r="35" spans="1:19">
      <c r="A35">
        <v>7</v>
      </c>
      <c r="B35" s="1">
        <f t="shared" si="15"/>
        <v>728.28571428571433</v>
      </c>
      <c r="C35" s="1">
        <f t="shared" si="15"/>
        <v>52.428571428571431</v>
      </c>
      <c r="D35" s="1">
        <f t="shared" si="15"/>
        <v>726.42857142857144</v>
      </c>
      <c r="E35" s="1">
        <f t="shared" si="15"/>
        <v>36.714285714285715</v>
      </c>
      <c r="F35" s="1">
        <f t="shared" si="15"/>
        <v>50.285714285714285</v>
      </c>
      <c r="G35" s="1">
        <f t="shared" si="15"/>
        <v>83.571428571428569</v>
      </c>
      <c r="H35" s="1">
        <f t="shared" si="15"/>
        <v>210</v>
      </c>
      <c r="I35" s="1">
        <f t="shared" si="15"/>
        <v>0</v>
      </c>
      <c r="J35" s="1"/>
      <c r="K35" s="1">
        <v>4</v>
      </c>
      <c r="L35" s="1">
        <f t="shared" si="14"/>
        <v>1274.5</v>
      </c>
      <c r="M35" s="1">
        <f t="shared" si="14"/>
        <v>91.75</v>
      </c>
      <c r="N35" s="1">
        <f t="shared" si="14"/>
        <v>1271.25</v>
      </c>
      <c r="O35" s="1">
        <f t="shared" si="14"/>
        <v>64.25</v>
      </c>
      <c r="P35" s="1">
        <f t="shared" si="14"/>
        <v>88</v>
      </c>
      <c r="Q35" s="1">
        <f t="shared" si="14"/>
        <v>146.25</v>
      </c>
      <c r="R35" s="1">
        <f t="shared" si="14"/>
        <v>367.5</v>
      </c>
      <c r="S35" s="1">
        <f t="shared" si="14"/>
        <v>0</v>
      </c>
    </row>
    <row r="36" spans="1:19">
      <c r="A36">
        <v>9</v>
      </c>
      <c r="B36" s="1">
        <f t="shared" si="15"/>
        <v>566.44444444444446</v>
      </c>
      <c r="C36" s="1">
        <f t="shared" si="15"/>
        <v>40.777777777777779</v>
      </c>
      <c r="D36" s="1">
        <f t="shared" si="15"/>
        <v>565</v>
      </c>
      <c r="E36" s="1">
        <f t="shared" si="15"/>
        <v>28.555555555555557</v>
      </c>
      <c r="F36" s="1">
        <f t="shared" si="15"/>
        <v>39.111111111111114</v>
      </c>
      <c r="G36" s="1">
        <f t="shared" si="15"/>
        <v>65</v>
      </c>
      <c r="H36" s="1">
        <f t="shared" si="15"/>
        <v>163.33333333333334</v>
      </c>
      <c r="I36" s="1">
        <f t="shared" si="15"/>
        <v>0</v>
      </c>
      <c r="J36" s="1"/>
      <c r="K36" s="1">
        <v>5</v>
      </c>
      <c r="L36" s="1">
        <f t="shared" si="14"/>
        <v>1019.6</v>
      </c>
      <c r="M36" s="1">
        <f t="shared" si="14"/>
        <v>73.400000000000006</v>
      </c>
      <c r="N36" s="1">
        <f t="shared" si="14"/>
        <v>1017</v>
      </c>
      <c r="O36" s="1">
        <f t="shared" si="14"/>
        <v>51.4</v>
      </c>
      <c r="P36" s="1">
        <f t="shared" si="14"/>
        <v>70.400000000000006</v>
      </c>
      <c r="Q36" s="1">
        <f t="shared" si="14"/>
        <v>117</v>
      </c>
      <c r="R36" s="1">
        <f t="shared" si="14"/>
        <v>294</v>
      </c>
      <c r="S36" s="1">
        <f t="shared" si="14"/>
        <v>0</v>
      </c>
    </row>
    <row r="38" spans="1:19" ht="18">
      <c r="A38" s="5" t="s">
        <v>27</v>
      </c>
    </row>
    <row r="39" spans="1:19">
      <c r="A39" s="8" t="s">
        <v>26</v>
      </c>
    </row>
  </sheetData>
  <conditionalFormatting sqref="L4:S8">
    <cfRule type="top10" dxfId="10" priority="8" rank="5"/>
  </conditionalFormatting>
  <conditionalFormatting sqref="L11:S15">
    <cfRule type="top10" dxfId="9" priority="7" rank="5"/>
  </conditionalFormatting>
  <conditionalFormatting sqref="L18:S22 V18:AC18">
    <cfRule type="top10" dxfId="8" priority="6" rank="5"/>
  </conditionalFormatting>
  <conditionalFormatting sqref="L25:S29">
    <cfRule type="top10" dxfId="7" priority="5" rank="5"/>
  </conditionalFormatting>
  <conditionalFormatting sqref="L32:S36">
    <cfRule type="top10" dxfId="6" priority="4" rank="5"/>
  </conditionalFormatting>
  <conditionalFormatting sqref="V5:AC5">
    <cfRule type="cellIs" dxfId="5" priority="1" operator="between">
      <formula>5</formula>
      <formula>100</formula>
    </cfRule>
  </conditionalFormatting>
  <conditionalFormatting sqref="B4:J8">
    <cfRule type="top10" dxfId="4" priority="14" rank="5"/>
  </conditionalFormatting>
  <conditionalFormatting sqref="B11:J15">
    <cfRule type="top10" dxfId="3" priority="15" rank="5"/>
  </conditionalFormatting>
  <conditionalFormatting sqref="B18:J22">
    <cfRule type="top10" dxfId="2" priority="16" rank="5"/>
  </conditionalFormatting>
  <conditionalFormatting sqref="B25:J29">
    <cfRule type="top10" dxfId="1" priority="17" rank="5"/>
  </conditionalFormatting>
  <conditionalFormatting sqref="B32:J36">
    <cfRule type="top10" dxfId="0" priority="18" rank="5"/>
  </conditionalFormatting>
  <hyperlinks>
    <hyperlink ref="A39" r:id="rId1"/>
  </hyperlinks>
  <pageMargins left="0.7" right="0.7" top="0.75" bottom="0.75" header="0.3" footer="0.3"/>
  <pageSetup paperSize="9"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Metoda Sainte-Laguë w Radomiu</dc:title>
  <dc:subject>Metoda Sainte-Laguë w Radomiu</dc:subject>
  <dc:creator>Daniel Koźmiński</dc:creator>
  <cp:keywords>Sainte-Laguë, D’Hondt, statystyka, wybory, samorząd</cp:keywords>
  <cp:lastModifiedBy>Daniel Koźmiński</cp:lastModifiedBy>
  <dcterms:created xsi:type="dcterms:W3CDTF">2014-11-27T18:44:45Z</dcterms:created>
  <dcterms:modified xsi:type="dcterms:W3CDTF">2024-04-08T17:52:31Z</dcterms:modified>
</cp:coreProperties>
</file>